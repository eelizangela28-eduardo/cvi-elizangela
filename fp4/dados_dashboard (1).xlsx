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<sst xmlns="http://schemas.openxmlformats.org/spreadsheetml/2006/main" count="58" uniqueCount="38">
  <si>
    <t>Coluna 1</t>
  </si>
  <si>
    <t>Descrição</t>
  </si>
  <si>
    <t>Movimento</t>
  </si>
  <si>
    <t>Valor</t>
  </si>
  <si>
    <t>Fatura Eletricidade</t>
  </si>
  <si>
    <t>Débito</t>
  </si>
  <si>
    <t>Supermercado Délice</t>
  </si>
  <si>
    <t>Recebimento</t>
  </si>
  <si>
    <t>Transferência Recibida - João</t>
  </si>
  <si>
    <t>Crédito</t>
  </si>
  <si>
    <t>Gastos</t>
  </si>
  <si>
    <t>Cafeteria Central</t>
  </si>
  <si>
    <t>TOTAL</t>
  </si>
  <si>
    <t>Pagamento de Renda</t>
  </si>
  <si>
    <t xml:space="preserve">           </t>
  </si>
  <si>
    <t>Reembolso Plataforma X</t>
  </si>
  <si>
    <t>Restaurante Solar</t>
  </si>
  <si>
    <t>Salário Mensal</t>
  </si>
  <si>
    <t>Compra Online - Livraria</t>
  </si>
  <si>
    <t>Subscrição Streaming</t>
  </si>
  <si>
    <t>Transferência Recebida - Maria</t>
  </si>
  <si>
    <t>Gasolina - Posto Norte</t>
  </si>
  <si>
    <t>Farmácia Saúde</t>
  </si>
  <si>
    <t>Devolução Compra Online</t>
  </si>
  <si>
    <t>Padaria Trigo Doce</t>
  </si>
  <si>
    <t>Pagamento Academia</t>
  </si>
  <si>
    <t>Transferência Recebida - Cliente A</t>
  </si>
  <si>
    <t>Restaurante da Praça</t>
  </si>
  <si>
    <t>Serviço de Táxi</t>
  </si>
  <si>
    <t>Reembolso Seguro</t>
  </si>
  <si>
    <t>Sumário</t>
  </si>
  <si>
    <t>Total de gastos</t>
  </si>
  <si>
    <t>Total de recebimento</t>
  </si>
  <si>
    <t xml:space="preserve"> </t>
  </si>
  <si>
    <t>Total de saldo</t>
  </si>
  <si>
    <t>Detalhe Mensal</t>
  </si>
  <si>
    <t>SELECIONE MÊS</t>
  </si>
  <si>
    <t>fevereiro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</si>
</sst>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#,##0.00\ [$€-1]"/>
    <numFmt numFmtId="166" formatCode="#,##0.00&quot;€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b/>
      <sz val="12.0"/>
      <color rgb="FF666666"/>
      <name val="Comfortaa"/>
    </font>
    <font>
      <color rgb="FF3C78D8"/>
      <name val="Oswald"/>
    </font>
    <font/>
    <font>
      <color rgb="FFB7B7B7"/>
      <name val="Arial"/>
      <scheme val="minor"/>
    </font>
    <font>
      <sz val="22.0"/>
      <color rgb="FF666666"/>
      <name val="Trebuchet MS"/>
    </font>
    <font>
      <color rgb="FF3C78D8"/>
      <name val="Arial"/>
      <scheme val="minor"/>
    </font>
    <font>
      <color rgb="FFEFEFE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Fill="1" applyFont="1"/>
    <xf borderId="0" fillId="2" fontId="2" numFmtId="0" xfId="0" applyFont="1"/>
    <xf borderId="0" fillId="2" fontId="3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0" fontId="5" numFmtId="0" xfId="0" applyBorder="1" applyFont="1"/>
    <xf borderId="0" fillId="2" fontId="6" numFmtId="0" xfId="0" applyFont="1"/>
    <xf borderId="0" fillId="2" fontId="7" numFmtId="165" xfId="0" applyAlignment="1" applyFont="1" applyNumberFormat="1">
      <alignment horizontal="left" readingOrder="0" vertical="top"/>
    </xf>
    <xf borderId="0" fillId="2" fontId="8" numFmtId="0" xfId="0" applyFont="1"/>
    <xf borderId="0" fillId="2" fontId="1" numFmtId="0" xfId="0" applyAlignment="1" applyFont="1">
      <alignment readingOrder="0"/>
    </xf>
    <xf borderId="0" fillId="2" fontId="2" numFmtId="166" xfId="0" applyAlignment="1" applyFont="1" applyNumberFormat="1">
      <alignment readingOrder="0"/>
    </xf>
    <xf borderId="0" fillId="2" fontId="9" numFmtId="0" xfId="0" applyFont="1"/>
    <xf borderId="0" fillId="2" fontId="9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674EA7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</c:dPt>
          <c:dPt>
            <c:idx val="3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FFFFFF"/>
                        </a:solidFill>
                        <a:latin typeface="Roboto"/>
                      </a:rPr>
                      <a:t>990,70€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FFFFFF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FFFFFF"/>
                        </a:solidFill>
                        <a:latin typeface="Roboto"/>
                      </a:rPr>
                      <a:t>2590,49€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val>
            <c:numRef>
              <c:f>Dashboard!$B$5:$B$8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923925</xdr:colOff>
      <xdr:row>1</xdr:row>
      <xdr:rowOff>104775</xdr:rowOff>
    </xdr:from>
    <xdr:ext cx="5715000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685800</xdr:colOff>
      <xdr:row>21</xdr:row>
      <xdr:rowOff>28575</xdr:rowOff>
    </xdr:from>
    <xdr:ext cx="5715000" cy="1495425"/>
    <xdr:pic>
      <xdr:nvPicPr>
        <xdr:cNvPr id="58683815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57" displayName="Tabela1" name="Tabela1" id="1">
  <tableColumns count="4">
    <tableColumn name="Coluna 1" id="1"/>
    <tableColumn name="Descrição" id="2"/>
    <tableColumn name="Movimento" id="3"/>
    <tableColumn name="Valor" id="4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7.63"/>
    <col customWidth="1" min="3" max="3" width="17.13"/>
  </cols>
  <sheetData>
    <row r="1" ht="48.0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45658.0</v>
      </c>
      <c r="B2" s="4" t="s">
        <v>4</v>
      </c>
      <c r="C2" s="5" t="s">
        <v>5</v>
      </c>
      <c r="D2" s="6">
        <v>65.56</v>
      </c>
    </row>
    <row r="3" ht="22.5" customHeight="1">
      <c r="A3" s="3">
        <v>45660.0</v>
      </c>
      <c r="B3" s="4" t="s">
        <v>6</v>
      </c>
      <c r="C3" s="5" t="s">
        <v>5</v>
      </c>
      <c r="D3" s="6">
        <v>42.75</v>
      </c>
      <c r="F3" s="7" t="s">
        <v>7</v>
      </c>
      <c r="G3" s="8">
        <f>SUMIF(Dados!C2:C1000,"=*crédito*",Dados!D2:D1000)</f>
        <v>2590.49</v>
      </c>
    </row>
    <row r="4" ht="22.5" customHeight="1">
      <c r="A4" s="3">
        <v>45661.0</v>
      </c>
      <c r="B4" s="4" t="s">
        <v>8</v>
      </c>
      <c r="C4" s="5" t="s">
        <v>9</v>
      </c>
      <c r="D4" s="6">
        <v>250.0</v>
      </c>
      <c r="F4" s="7" t="s">
        <v>10</v>
      </c>
      <c r="G4" s="7">
        <f>SUMIF(Dados!C2:C1000,"=*débito*",Dados!D2:D1000)</f>
        <v>990.7</v>
      </c>
    </row>
    <row r="5" ht="22.5" customHeight="1">
      <c r="A5" s="3">
        <v>45662.0</v>
      </c>
      <c r="B5" s="4" t="s">
        <v>11</v>
      </c>
      <c r="C5" s="5" t="s">
        <v>5</v>
      </c>
      <c r="D5" s="6">
        <v>3.2</v>
      </c>
      <c r="F5" s="7" t="s">
        <v>12</v>
      </c>
      <c r="G5" s="8">
        <f>G3-G4</f>
        <v>1599.79</v>
      </c>
    </row>
    <row r="6" ht="22.5" customHeight="1">
      <c r="A6" s="3">
        <v>45664.0</v>
      </c>
      <c r="B6" s="4" t="s">
        <v>13</v>
      </c>
      <c r="C6" s="5" t="s">
        <v>5</v>
      </c>
      <c r="D6" s="6">
        <v>650.0</v>
      </c>
      <c r="F6" s="7" t="s">
        <v>14</v>
      </c>
    </row>
    <row r="7" ht="22.5" customHeight="1">
      <c r="A7" s="3">
        <v>45666.0</v>
      </c>
      <c r="B7" s="4" t="s">
        <v>15</v>
      </c>
      <c r="C7" s="5" t="s">
        <v>9</v>
      </c>
      <c r="D7" s="6">
        <v>15.5</v>
      </c>
    </row>
    <row r="8" ht="22.5" customHeight="1">
      <c r="A8" s="3">
        <v>45667.0</v>
      </c>
      <c r="B8" s="4" t="s">
        <v>16</v>
      </c>
      <c r="C8" s="5" t="s">
        <v>5</v>
      </c>
      <c r="D8" s="6">
        <v>27.4</v>
      </c>
    </row>
    <row r="9" ht="22.5" customHeight="1">
      <c r="A9" s="3">
        <v>45700.0</v>
      </c>
      <c r="B9" s="4" t="s">
        <v>17</v>
      </c>
      <c r="C9" s="5" t="s">
        <v>9</v>
      </c>
      <c r="D9" s="6">
        <v>1850.0</v>
      </c>
    </row>
    <row r="10" ht="22.5" customHeight="1">
      <c r="A10" s="3">
        <v>45701.0</v>
      </c>
      <c r="B10" s="4" t="s">
        <v>18</v>
      </c>
      <c r="C10" s="5" t="s">
        <v>5</v>
      </c>
      <c r="D10" s="6">
        <v>18.9</v>
      </c>
    </row>
    <row r="11" ht="22.5" customHeight="1">
      <c r="A11" s="3">
        <v>45702.0</v>
      </c>
      <c r="B11" s="4" t="s">
        <v>19</v>
      </c>
      <c r="C11" s="5" t="s">
        <v>5</v>
      </c>
      <c r="D11" s="6">
        <v>7.99</v>
      </c>
    </row>
    <row r="12" ht="22.5" customHeight="1">
      <c r="A12" s="3">
        <v>45703.0</v>
      </c>
      <c r="B12" s="4" t="s">
        <v>20</v>
      </c>
      <c r="C12" s="5" t="s">
        <v>9</v>
      </c>
      <c r="D12" s="6">
        <v>120.0</v>
      </c>
    </row>
    <row r="13" ht="22.5" customHeight="1">
      <c r="A13" s="3">
        <v>45704.0</v>
      </c>
      <c r="B13" s="4" t="s">
        <v>21</v>
      </c>
      <c r="C13" s="5" t="s">
        <v>5</v>
      </c>
      <c r="D13" s="6">
        <v>55.8</v>
      </c>
    </row>
    <row r="14" ht="22.5" customHeight="1">
      <c r="A14" s="3">
        <v>45705.0</v>
      </c>
      <c r="B14" s="4" t="s">
        <v>22</v>
      </c>
      <c r="C14" s="5" t="s">
        <v>5</v>
      </c>
      <c r="D14" s="6">
        <v>12.6</v>
      </c>
    </row>
    <row r="15" ht="22.5" customHeight="1">
      <c r="A15" s="3">
        <v>45706.0</v>
      </c>
      <c r="B15" s="4" t="s">
        <v>23</v>
      </c>
      <c r="C15" s="5" t="s">
        <v>9</v>
      </c>
      <c r="D15" s="6">
        <v>9.99</v>
      </c>
    </row>
    <row r="16" ht="22.5" customHeight="1">
      <c r="A16" s="3">
        <v>45707.0</v>
      </c>
      <c r="B16" s="4" t="s">
        <v>24</v>
      </c>
      <c r="C16" s="5" t="s">
        <v>5</v>
      </c>
      <c r="D16" s="6">
        <v>4.5</v>
      </c>
    </row>
    <row r="17" ht="22.5" customHeight="1">
      <c r="A17" s="3">
        <v>45738.0</v>
      </c>
      <c r="B17" s="4" t="s">
        <v>6</v>
      </c>
      <c r="C17" s="5" t="s">
        <v>5</v>
      </c>
      <c r="D17" s="6">
        <v>38.1</v>
      </c>
    </row>
    <row r="18" ht="22.5" customHeight="1">
      <c r="A18" s="3">
        <v>45739.0</v>
      </c>
      <c r="B18" s="4" t="s">
        <v>25</v>
      </c>
      <c r="C18" s="5" t="s">
        <v>5</v>
      </c>
      <c r="D18" s="6">
        <v>29.9</v>
      </c>
    </row>
    <row r="19" ht="22.5" customHeight="1">
      <c r="A19" s="3">
        <v>45740.0</v>
      </c>
      <c r="B19" s="4" t="s">
        <v>26</v>
      </c>
      <c r="C19" s="5" t="s">
        <v>9</v>
      </c>
      <c r="D19" s="6">
        <v>300.0</v>
      </c>
    </row>
    <row r="20" ht="22.5" customHeight="1">
      <c r="A20" s="3">
        <v>45741.0</v>
      </c>
      <c r="B20" s="4" t="s">
        <v>27</v>
      </c>
      <c r="C20" s="5" t="s">
        <v>5</v>
      </c>
      <c r="D20" s="6">
        <v>22.3</v>
      </c>
    </row>
    <row r="21" ht="22.5" customHeight="1">
      <c r="A21" s="3">
        <v>45742.0</v>
      </c>
      <c r="B21" s="4" t="s">
        <v>28</v>
      </c>
      <c r="C21" s="5" t="s">
        <v>5</v>
      </c>
      <c r="D21" s="6">
        <v>11.7</v>
      </c>
    </row>
    <row r="22" ht="22.5" customHeight="1">
      <c r="A22" s="3">
        <v>45743.0</v>
      </c>
      <c r="B22" s="4" t="s">
        <v>29</v>
      </c>
      <c r="C22" s="5" t="s">
        <v>9</v>
      </c>
      <c r="D22" s="6">
        <v>45.0</v>
      </c>
    </row>
    <row r="23" ht="22.5" customHeight="1">
      <c r="A23" s="9"/>
      <c r="C23" s="10"/>
      <c r="D23" s="6">
        <v>0.0</v>
      </c>
    </row>
    <row r="24" ht="22.5" customHeight="1">
      <c r="A24" s="9"/>
      <c r="C24" s="10"/>
      <c r="D24" s="6">
        <v>0.0</v>
      </c>
    </row>
    <row r="25" ht="22.5" customHeight="1">
      <c r="A25" s="9"/>
      <c r="C25" s="10"/>
      <c r="D25" s="6">
        <v>0.0</v>
      </c>
    </row>
    <row r="26" ht="22.5" customHeight="1">
      <c r="A26" s="9"/>
      <c r="C26" s="10"/>
      <c r="D26" s="6">
        <v>0.0</v>
      </c>
    </row>
    <row r="27" ht="22.5" customHeight="1">
      <c r="A27" s="9"/>
      <c r="C27" s="10"/>
      <c r="D27" s="6">
        <v>0.0</v>
      </c>
    </row>
    <row r="28" ht="22.5" customHeight="1">
      <c r="A28" s="9"/>
      <c r="C28" s="10"/>
      <c r="D28" s="6">
        <v>0.0</v>
      </c>
    </row>
    <row r="29" ht="22.5" customHeight="1">
      <c r="A29" s="9"/>
      <c r="C29" s="10"/>
      <c r="D29" s="6">
        <v>0.0</v>
      </c>
    </row>
    <row r="30" ht="22.5" customHeight="1">
      <c r="A30" s="9"/>
      <c r="C30" s="10"/>
      <c r="D30" s="6">
        <v>0.0</v>
      </c>
    </row>
    <row r="31" ht="22.5" customHeight="1">
      <c r="A31" s="9"/>
      <c r="C31" s="10"/>
      <c r="D31" s="6">
        <v>0.0</v>
      </c>
    </row>
    <row r="32" ht="22.5" customHeight="1">
      <c r="A32" s="9"/>
      <c r="C32" s="10"/>
      <c r="D32" s="6">
        <v>0.0</v>
      </c>
    </row>
    <row r="33" ht="22.5" customHeight="1">
      <c r="A33" s="9"/>
      <c r="C33" s="10"/>
      <c r="D33" s="6">
        <v>0.0</v>
      </c>
    </row>
    <row r="34" ht="22.5" customHeight="1">
      <c r="A34" s="9"/>
      <c r="C34" s="10"/>
      <c r="D34" s="6">
        <v>0.0</v>
      </c>
    </row>
    <row r="35" ht="22.5" customHeight="1">
      <c r="A35" s="9"/>
      <c r="C35" s="10"/>
      <c r="D35" s="6">
        <v>0.0</v>
      </c>
    </row>
    <row r="36" ht="22.5" customHeight="1">
      <c r="A36" s="9"/>
      <c r="C36" s="10"/>
      <c r="D36" s="6">
        <v>0.0</v>
      </c>
    </row>
    <row r="37" ht="22.5" customHeight="1">
      <c r="A37" s="9"/>
      <c r="C37" s="10"/>
      <c r="D37" s="6">
        <v>0.0</v>
      </c>
    </row>
    <row r="38" ht="22.5" customHeight="1">
      <c r="A38" s="9"/>
      <c r="C38" s="10"/>
      <c r="D38" s="6">
        <v>0.0</v>
      </c>
    </row>
    <row r="39" ht="22.5" customHeight="1">
      <c r="A39" s="9"/>
      <c r="C39" s="10"/>
      <c r="D39" s="6">
        <v>0.0</v>
      </c>
    </row>
    <row r="40" ht="22.5" customHeight="1">
      <c r="A40" s="9"/>
      <c r="C40" s="10"/>
      <c r="D40" s="6">
        <v>0.0</v>
      </c>
    </row>
    <row r="41" ht="22.5" customHeight="1">
      <c r="A41" s="9"/>
      <c r="C41" s="10"/>
      <c r="D41" s="6">
        <v>0.0</v>
      </c>
    </row>
    <row r="42" ht="22.5" customHeight="1">
      <c r="A42" s="9"/>
      <c r="C42" s="10"/>
      <c r="D42" s="6">
        <v>0.0</v>
      </c>
    </row>
    <row r="43" ht="22.5" customHeight="1">
      <c r="A43" s="9"/>
      <c r="C43" s="10"/>
      <c r="D43" s="6">
        <v>0.0</v>
      </c>
    </row>
    <row r="44" ht="22.5" customHeight="1">
      <c r="A44" s="9"/>
      <c r="C44" s="10"/>
      <c r="D44" s="6">
        <v>0.0</v>
      </c>
    </row>
    <row r="45" ht="22.5" customHeight="1">
      <c r="A45" s="9"/>
      <c r="C45" s="10"/>
      <c r="D45" s="6">
        <v>0.0</v>
      </c>
    </row>
    <row r="46" ht="22.5" customHeight="1">
      <c r="A46" s="9"/>
      <c r="C46" s="10"/>
      <c r="D46" s="6">
        <v>0.0</v>
      </c>
    </row>
    <row r="47" ht="22.5" customHeight="1">
      <c r="A47" s="9"/>
      <c r="C47" s="10"/>
      <c r="D47" s="6">
        <v>0.0</v>
      </c>
    </row>
    <row r="48" ht="22.5" customHeight="1">
      <c r="A48" s="9"/>
      <c r="C48" s="10"/>
      <c r="D48" s="6">
        <v>0.0</v>
      </c>
    </row>
    <row r="49" ht="22.5" customHeight="1">
      <c r="A49" s="9"/>
      <c r="C49" s="10"/>
      <c r="D49" s="6">
        <v>0.0</v>
      </c>
    </row>
    <row r="50" ht="22.5" customHeight="1">
      <c r="A50" s="9"/>
      <c r="C50" s="10"/>
      <c r="D50" s="6">
        <v>0.0</v>
      </c>
    </row>
    <row r="51" ht="22.5" customHeight="1">
      <c r="A51" s="9"/>
      <c r="C51" s="10"/>
      <c r="D51" s="6">
        <v>0.0</v>
      </c>
    </row>
    <row r="52" ht="22.5" customHeight="1">
      <c r="A52" s="9"/>
      <c r="C52" s="10"/>
      <c r="D52" s="6">
        <v>0.0</v>
      </c>
    </row>
    <row r="53" ht="22.5" customHeight="1">
      <c r="A53" s="9"/>
      <c r="C53" s="10"/>
      <c r="D53" s="6">
        <v>0.0</v>
      </c>
    </row>
    <row r="54" ht="22.5" customHeight="1">
      <c r="A54" s="9"/>
      <c r="C54" s="10"/>
      <c r="D54" s="6">
        <v>0.0</v>
      </c>
    </row>
    <row r="55" ht="22.5" customHeight="1">
      <c r="A55" s="9"/>
      <c r="C55" s="10"/>
      <c r="D55" s="6">
        <v>0.0</v>
      </c>
    </row>
    <row r="56" ht="22.5" customHeight="1">
      <c r="A56" s="9"/>
      <c r="C56" s="10"/>
      <c r="D56" s="6">
        <v>0.0</v>
      </c>
    </row>
    <row r="57" ht="22.5" customHeight="1">
      <c r="A57" s="9"/>
      <c r="C57" s="10"/>
      <c r="D57" s="6">
        <v>0.0</v>
      </c>
    </row>
  </sheetData>
  <dataValidations>
    <dataValidation type="list" allowBlank="1" sqref="C2:C57">
      <formula1>"Débito,Crédito"</formula1>
    </dataValidation>
    <dataValidation type="custom" allowBlank="1" showDropDown="1" sqref="A2:A57">
      <formula1>OR(NOT(ISERROR(DATEVALUE(A2))), AND(ISNUMBER(A2), LEFT(CELL("format", A2))="D"))</formula1>
    </dataValidation>
    <dataValidation type="custom" allowBlank="1" showDropDown="1" sqref="D2:D5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</row>
    <row r="2">
      <c r="A2" s="11"/>
      <c r="B2" s="11"/>
      <c r="C2" s="11"/>
      <c r="D2" s="11"/>
      <c r="E2" s="11"/>
      <c r="F2" s="11"/>
      <c r="G2" s="11"/>
      <c r="H2" s="11"/>
      <c r="I2" s="11"/>
    </row>
    <row r="3">
      <c r="A3" s="12"/>
      <c r="B3" s="13" t="s">
        <v>30</v>
      </c>
      <c r="C3" s="11"/>
      <c r="D3" s="11"/>
      <c r="E3" s="11"/>
      <c r="F3" s="11"/>
      <c r="G3" s="11"/>
      <c r="H3" s="11"/>
      <c r="I3" s="11"/>
    </row>
    <row r="4">
      <c r="A4" s="11"/>
      <c r="B4" s="14" t="s">
        <v>31</v>
      </c>
      <c r="C4" s="15"/>
      <c r="D4" s="11"/>
      <c r="E4" s="11"/>
      <c r="F4" s="11"/>
      <c r="G4" s="16"/>
      <c r="H4" s="11"/>
      <c r="I4" s="11"/>
    </row>
    <row r="5">
      <c r="A5" s="12"/>
      <c r="B5" s="17">
        <f>SUMIF(Dados!C2:C1000,"=*crédito*",Dados!D2:D1000)</f>
        <v>2590.49</v>
      </c>
      <c r="D5" s="11"/>
      <c r="E5" s="11"/>
      <c r="F5" s="11"/>
      <c r="G5" s="11"/>
      <c r="H5" s="11"/>
      <c r="I5" s="11"/>
    </row>
    <row r="6" ht="27.0" customHeight="1">
      <c r="A6" s="11"/>
      <c r="D6" s="11"/>
      <c r="E6" s="11"/>
      <c r="F6" s="11"/>
      <c r="G6" s="11"/>
      <c r="H6" s="11"/>
      <c r="I6" s="11"/>
    </row>
    <row r="7">
      <c r="A7" s="11"/>
      <c r="B7" s="14" t="s">
        <v>32</v>
      </c>
      <c r="C7" s="15"/>
      <c r="D7" s="11"/>
      <c r="E7" s="11"/>
      <c r="F7" s="11"/>
      <c r="G7" s="11"/>
      <c r="H7" s="11"/>
      <c r="I7" s="11"/>
      <c r="N7" s="7" t="s">
        <v>33</v>
      </c>
    </row>
    <row r="8">
      <c r="A8" s="11"/>
      <c r="B8" s="17">
        <f>SUMIF(Dados!C2:C1000,"=*débito*",Dados!D2:D1000)</f>
        <v>990.7</v>
      </c>
      <c r="D8" s="11"/>
      <c r="E8" s="11"/>
      <c r="F8" s="11"/>
      <c r="G8" s="11"/>
      <c r="H8" s="11"/>
      <c r="I8" s="11"/>
    </row>
    <row r="9">
      <c r="A9" s="11"/>
      <c r="D9" s="11"/>
      <c r="E9" s="11"/>
      <c r="F9" s="11"/>
      <c r="G9" s="11"/>
      <c r="H9" s="11"/>
      <c r="I9" s="11"/>
    </row>
    <row r="10">
      <c r="A10" s="18"/>
      <c r="B10" s="14" t="s">
        <v>34</v>
      </c>
      <c r="C10" s="15"/>
      <c r="D10" s="11"/>
      <c r="E10" s="11"/>
      <c r="F10" s="11"/>
      <c r="G10" s="11"/>
      <c r="H10" s="11"/>
      <c r="I10" s="11"/>
    </row>
    <row r="11">
      <c r="A11" s="19"/>
      <c r="B11" s="17">
        <f>Dados!G5</f>
        <v>1599.79</v>
      </c>
      <c r="D11" s="11"/>
      <c r="E11" s="11"/>
      <c r="F11" s="11"/>
      <c r="G11" s="11"/>
      <c r="H11" s="11"/>
      <c r="I11" s="11"/>
    </row>
    <row r="12">
      <c r="A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3" t="s">
        <v>35</v>
      </c>
      <c r="D14" s="11"/>
      <c r="E14" s="11"/>
      <c r="F14" s="11"/>
      <c r="G14" s="11"/>
      <c r="H14" s="11"/>
      <c r="I14" s="11"/>
    </row>
    <row r="15">
      <c r="A15" s="11"/>
      <c r="B15" s="14" t="s">
        <v>36</v>
      </c>
      <c r="C15" s="15"/>
      <c r="D15" s="11"/>
      <c r="E15" s="11"/>
      <c r="F15" s="11"/>
      <c r="G15" s="11"/>
      <c r="H15" s="11"/>
      <c r="I15" s="11"/>
    </row>
    <row r="16">
      <c r="A16" s="11"/>
      <c r="B16" s="19" t="s">
        <v>37</v>
      </c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9"/>
      <c r="C18" s="20"/>
      <c r="D18" s="21"/>
      <c r="E18" s="11"/>
      <c r="F18" s="11"/>
      <c r="G18" s="11"/>
      <c r="H18" s="11"/>
      <c r="I18" s="11"/>
    </row>
    <row r="19">
      <c r="A19" s="11"/>
      <c r="B19" s="19"/>
      <c r="C19" s="22"/>
      <c r="D19" s="2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  <row r="22">
      <c r="A22" s="11"/>
      <c r="B22" s="11"/>
      <c r="C22" s="11"/>
      <c r="D22" s="11"/>
      <c r="E22" s="11"/>
      <c r="F22" s="11"/>
      <c r="G22" s="11"/>
      <c r="H22" s="11"/>
      <c r="I22" s="11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</row>
    <row r="35">
      <c r="C35" s="8">
        <f>mesToNumero(B16)</f>
        <v>2</v>
      </c>
      <c r="D35" s="8" t="str">
        <f>IFERROR(__xludf.DUMMYFUNCTION("FILTER(Dados!C2:D1000, MONTH(Dados!A2:A1000)=C35)"),"Crédito")</f>
        <v>Crédito</v>
      </c>
      <c r="E35" s="23">
        <f>IFERROR(__xludf.DUMMYFUNCTION("""COMPUTED_VALUE"""),1850.0)</f>
        <v>1850</v>
      </c>
    </row>
    <row r="36">
      <c r="D36" s="8" t="str">
        <f>IFERROR(__xludf.DUMMYFUNCTION("""COMPUTED_VALUE"""),"Débito")</f>
        <v>Débito</v>
      </c>
      <c r="E36" s="23">
        <f>IFERROR(__xludf.DUMMYFUNCTION("""COMPUTED_VALUE"""),18.9)</f>
        <v>18.9</v>
      </c>
    </row>
    <row r="37">
      <c r="D37" s="8" t="str">
        <f>IFERROR(__xludf.DUMMYFUNCTION("""COMPUTED_VALUE"""),"Débito")</f>
        <v>Débito</v>
      </c>
      <c r="E37" s="23">
        <f>IFERROR(__xludf.DUMMYFUNCTION("""COMPUTED_VALUE"""),7.99)</f>
        <v>7.99</v>
      </c>
    </row>
    <row r="38">
      <c r="D38" s="8" t="str">
        <f>IFERROR(__xludf.DUMMYFUNCTION("""COMPUTED_VALUE"""),"Crédito")</f>
        <v>Crédito</v>
      </c>
      <c r="E38" s="23">
        <f>IFERROR(__xludf.DUMMYFUNCTION("""COMPUTED_VALUE"""),120.0)</f>
        <v>120</v>
      </c>
    </row>
    <row r="39">
      <c r="D39" s="8" t="str">
        <f>IFERROR(__xludf.DUMMYFUNCTION("""COMPUTED_VALUE"""),"Débito")</f>
        <v>Débito</v>
      </c>
      <c r="E39" s="23">
        <f>IFERROR(__xludf.DUMMYFUNCTION("""COMPUTED_VALUE"""),55.8)</f>
        <v>55.8</v>
      </c>
    </row>
    <row r="40">
      <c r="D40" s="8" t="str">
        <f>IFERROR(__xludf.DUMMYFUNCTION("""COMPUTED_VALUE"""),"Débito")</f>
        <v>Débito</v>
      </c>
      <c r="E40" s="23">
        <f>IFERROR(__xludf.DUMMYFUNCTION("""COMPUTED_VALUE"""),12.6)</f>
        <v>12.6</v>
      </c>
    </row>
    <row r="41">
      <c r="D41" s="8" t="str">
        <f>IFERROR(__xludf.DUMMYFUNCTION("""COMPUTED_VALUE"""),"Crédito")</f>
        <v>Crédito</v>
      </c>
      <c r="E41" s="23">
        <f>IFERROR(__xludf.DUMMYFUNCTION("""COMPUTED_VALUE"""),9.99)</f>
        <v>9.99</v>
      </c>
    </row>
    <row r="42">
      <c r="D42" s="8" t="str">
        <f>IFERROR(__xludf.DUMMYFUNCTION("""COMPUTED_VALUE"""),"Débito")</f>
        <v>Débito</v>
      </c>
      <c r="E42" s="23">
        <f>IFERROR(__xludf.DUMMYFUNCTION("""COMPUTED_VALUE"""),4.5)</f>
        <v>4.5</v>
      </c>
    </row>
  </sheetData>
  <mergeCells count="8">
    <mergeCell ref="B4:C4"/>
    <mergeCell ref="B5:C6"/>
    <mergeCell ref="B7:C7"/>
    <mergeCell ref="B8:C9"/>
    <mergeCell ref="B10:C10"/>
    <mergeCell ref="B11:C12"/>
    <mergeCell ref="B15:C15"/>
    <mergeCell ref="B14:C14"/>
  </mergeCells>
  <dataValidations>
    <dataValidation type="list" allowBlank="1" showErrorMessage="1" sqref="B16">
      <formula1>"janeiro,fevereiro,março,abril,maio,junho,julho,agosto,setembro,outubro,novembro,dezembro"</formula1>
    </dataValidation>
  </dataValidations>
  <drawing r:id="rId1"/>
</worksheet>
</file>